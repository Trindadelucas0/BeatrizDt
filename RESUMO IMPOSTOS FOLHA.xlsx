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Meu Drive\4.BEATRIZ DIAS\DAUTO 03-2026\IMPOSTOS\"/>
    </mc:Choice>
  </mc:AlternateContent>
  <xr:revisionPtr revIDLastSave="0" documentId="13_ncr:1_{86B12A80-CC12-486A-8374-8B1F7EFD08DB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O6" i="1"/>
  <c r="M15" i="1"/>
  <c r="O7" i="1"/>
  <c r="M10" i="1"/>
  <c r="O10" i="1" s="1"/>
  <c r="M12" i="1"/>
  <c r="M14" i="1" s="1"/>
  <c r="O15" i="1"/>
  <c r="O16" i="1" s="1"/>
  <c r="N8" i="1"/>
  <c r="N11" i="1"/>
  <c r="N16" i="1"/>
  <c r="N14" i="1"/>
  <c r="O12" i="1"/>
  <c r="O13" i="1"/>
  <c r="O9" i="1"/>
  <c r="M11" i="1" l="1"/>
  <c r="M16" i="1"/>
  <c r="O14" i="1"/>
  <c r="M8" i="1"/>
  <c r="O8" i="1"/>
  <c r="O11" i="1"/>
  <c r="G6" i="1"/>
  <c r="G7" i="1"/>
  <c r="G9" i="1"/>
  <c r="G12" i="1"/>
  <c r="G13" i="1"/>
  <c r="G15" i="1"/>
  <c r="G16" i="1" s="1"/>
  <c r="G10" i="1"/>
  <c r="G14" i="1" l="1"/>
  <c r="G8" i="1"/>
  <c r="G11" i="1"/>
</calcChain>
</file>

<file path=xl/sharedStrings.xml><?xml version="1.0" encoding="utf-8"?>
<sst xmlns="http://schemas.openxmlformats.org/spreadsheetml/2006/main" count="44" uniqueCount="20">
  <si>
    <t xml:space="preserve">INSS </t>
  </si>
  <si>
    <t xml:space="preserve">IRRF </t>
  </si>
  <si>
    <t xml:space="preserve">TOTAL </t>
  </si>
  <si>
    <t>EMPRESA</t>
  </si>
  <si>
    <t>FGTS</t>
  </si>
  <si>
    <t xml:space="preserve">EMPRESTIMO
 CONSIGNADO </t>
  </si>
  <si>
    <t xml:space="preserve">                                   RESUMO IMPOSTOS  DARF INSS/IRRF</t>
  </si>
  <si>
    <t xml:space="preserve">ETICA MATRIZ </t>
  </si>
  <si>
    <t xml:space="preserve">ETICA FILIAL </t>
  </si>
  <si>
    <t>MERCADO MATRIZ</t>
  </si>
  <si>
    <t xml:space="preserve">MERCADO FILIAL 03 </t>
  </si>
  <si>
    <t xml:space="preserve">V&amp;T MATRIZ </t>
  </si>
  <si>
    <t xml:space="preserve">V&amp;T FILIAL </t>
  </si>
  <si>
    <t>ÚNICA</t>
  </si>
  <si>
    <t xml:space="preserve">                                   RESUMO IMPOSTOS - FGTS</t>
  </si>
  <si>
    <t>COMPETÊNCIA</t>
  </si>
  <si>
    <t xml:space="preserve">OK </t>
  </si>
  <si>
    <t>03/2026</t>
  </si>
  <si>
    <t xml:space="preserve">CNPJ </t>
  </si>
  <si>
    <t xml:space="preserve">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</si>
</sst>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0C0C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44" fontId="0" fillId="0" borderId="1" xfId="1" applyFont="1" applyBorder="1"/>
    <xf numFmtId="44" fontId="3" fillId="3" borderId="1" xfId="1" applyFont="1" applyFill="1" applyBorder="1" applyAlignment="1">
      <alignment horizontal="center"/>
    </xf>
    <xf numFmtId="44" fontId="0" fillId="2" borderId="8" xfId="1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44" fontId="2" fillId="3" borderId="8" xfId="1" applyFont="1" applyFill="1" applyBorder="1"/>
    <xf numFmtId="44" fontId="2" fillId="3" borderId="13" xfId="1" applyFont="1" applyFill="1" applyBorder="1"/>
    <xf numFmtId="44" fontId="0" fillId="2" borderId="1" xfId="1" applyFont="1" applyFill="1" applyBorder="1"/>
    <xf numFmtId="44" fontId="0" fillId="2" borderId="0" xfId="1" applyFont="1" applyFill="1" applyBorder="1"/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" fontId="3" fillId="5" borderId="1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44" fontId="2" fillId="3" borderId="0" xfId="1" applyFont="1" applyFill="1" applyBorder="1"/>
    <xf numFmtId="0" fontId="3" fillId="3" borderId="2" xfId="0" applyFont="1" applyFill="1" applyBorder="1" applyAlignment="1">
      <alignment horizontal="center" wrapText="1"/>
    </xf>
    <xf numFmtId="44" fontId="0" fillId="0" borderId="0" xfId="1" applyFont="1"/>
    <xf numFmtId="1" fontId="3" fillId="5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2" fillId="3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44" fontId="2" fillId="2" borderId="0" xfId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0C0C0C"/>
      <color rgb="FF131313"/>
      <color rgb="FF1C1C1C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44030</xdr:rowOff>
    </xdr:from>
    <xdr:to>
      <xdr:col>10</xdr:col>
      <xdr:colOff>1225825</xdr:colOff>
      <xdr:row>3</xdr:row>
      <xdr:rowOff>537572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9414" y="242813"/>
          <a:ext cx="1755912" cy="493542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3</xdr:row>
      <xdr:rowOff>31069</xdr:rowOff>
    </xdr:from>
    <xdr:to>
      <xdr:col>3</xdr:col>
      <xdr:colOff>0</xdr:colOff>
      <xdr:row>3</xdr:row>
      <xdr:rowOff>543236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065" y="229852"/>
          <a:ext cx="1822174" cy="512167"/>
        </a:xfrm>
        <a:prstGeom prst="rect">
          <a:avLst/>
        </a:prstGeom>
      </xdr:spPr>
    </xdr:pic>
    <xdr:clientData/>
  </xdr:twoCellAnchor>
  <xdr:oneCellAnchor>
    <xdr:from>
      <xdr:col>9</xdr:col>
      <xdr:colOff>41413</xdr:colOff>
      <xdr:row>3</xdr:row>
      <xdr:rowOff>31069</xdr:rowOff>
    </xdr:from>
    <xdr:ext cx="1822174" cy="512167"/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065" y="229852"/>
          <a:ext cx="1822174" cy="5121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3"/>
  <sheetViews>
    <sheetView showGridLines="0" tabSelected="1" zoomScale="115" zoomScaleNormal="115" workbookViewId="0">
      <selection activeCell="E19" sqref="D19:E19"/>
    </sheetView>
  </sheetViews>
  <sheetFormatPr defaultRowHeight="15" x14ac:dyDescent="0.25"/>
  <cols>
    <col min="1" max="1" width="2.42578125" customWidth="1"/>
    <col min="2" max="2" width="8.140625" style="1" customWidth="1"/>
    <col min="3" max="3" width="19.7109375" style="1" bestFit="1" customWidth="1"/>
    <col min="4" max="4" width="19.7109375" style="24" customWidth="1"/>
    <col min="5" max="5" width="14.140625" customWidth="1"/>
    <col min="6" max="6" width="18.5703125" customWidth="1"/>
    <col min="7" max="7" width="22" customWidth="1"/>
    <col min="8" max="8" width="15.140625" customWidth="1"/>
    <col min="9" max="9" width="8.85546875" customWidth="1"/>
    <col min="10" max="10" width="8" customWidth="1"/>
    <col min="11" max="11" width="19.7109375" bestFit="1" customWidth="1"/>
    <col min="12" max="12" width="19.7109375" style="24" customWidth="1"/>
    <col min="13" max="13" width="14.7109375" customWidth="1"/>
    <col min="14" max="14" width="14" bestFit="1" customWidth="1"/>
    <col min="15" max="15" width="14.140625" bestFit="1" customWidth="1"/>
  </cols>
  <sheetData>
    <row r="2" spans="2:16" x14ac:dyDescent="0.25">
      <c r="C2" s="18" t="s">
        <v>15</v>
      </c>
      <c r="D2" s="23"/>
      <c r="E2" s="19" t="s">
        <v>17</v>
      </c>
      <c r="L2" s="23"/>
    </row>
    <row r="3" spans="2:16" ht="15.75" thickBot="1" x14ac:dyDescent="0.3"/>
    <row r="4" spans="2:16" ht="47.25" customHeight="1" x14ac:dyDescent="0.25">
      <c r="B4" s="33" t="s">
        <v>6</v>
      </c>
      <c r="C4" s="34"/>
      <c r="D4" s="34"/>
      <c r="E4" s="34"/>
      <c r="F4" s="34"/>
      <c r="G4" s="35"/>
      <c r="H4" s="14"/>
      <c r="I4" s="14"/>
      <c r="J4" s="33" t="s">
        <v>14</v>
      </c>
      <c r="K4" s="34"/>
      <c r="L4" s="34"/>
      <c r="M4" s="34"/>
      <c r="N4" s="34"/>
      <c r="O4" s="35"/>
      <c r="P4" s="16"/>
    </row>
    <row r="5" spans="2:16" ht="47.25" x14ac:dyDescent="0.25">
      <c r="B5" s="36" t="s">
        <v>3</v>
      </c>
      <c r="C5" s="37"/>
      <c r="D5" s="25" t="s">
        <v>18</v>
      </c>
      <c r="E5" s="5" t="s">
        <v>0</v>
      </c>
      <c r="F5" s="5" t="s">
        <v>1</v>
      </c>
      <c r="G5" s="6" t="s">
        <v>2</v>
      </c>
      <c r="H5" s="14"/>
      <c r="I5" s="14"/>
      <c r="J5" s="36" t="s">
        <v>3</v>
      </c>
      <c r="K5" s="37"/>
      <c r="L5" s="25" t="s">
        <v>18</v>
      </c>
      <c r="M5" s="7" t="s">
        <v>5</v>
      </c>
      <c r="N5" s="8" t="s">
        <v>4</v>
      </c>
      <c r="O5" s="6" t="s">
        <v>2</v>
      </c>
      <c r="P5" s="17"/>
    </row>
    <row r="6" spans="2:16" x14ac:dyDescent="0.25">
      <c r="B6" s="9">
        <v>56</v>
      </c>
      <c r="C6" s="10" t="s">
        <v>7</v>
      </c>
      <c r="D6" s="26">
        <v>4744446000181</v>
      </c>
      <c r="E6" s="2">
        <v>9607.99</v>
      </c>
      <c r="F6" s="2">
        <v>170.23</v>
      </c>
      <c r="G6" s="4">
        <f>SUM(E6:F6)</f>
        <v>9778.2199999999993</v>
      </c>
      <c r="H6" s="14"/>
      <c r="I6" s="14"/>
      <c r="J6" s="9">
        <v>56</v>
      </c>
      <c r="K6" s="10" t="s">
        <v>7</v>
      </c>
      <c r="L6" s="26">
        <v>4744446000181</v>
      </c>
      <c r="M6" s="2">
        <v>6452.3</v>
      </c>
      <c r="N6" s="2">
        <v>9015.07</v>
      </c>
      <c r="O6" s="4">
        <f>SUM(M6:N6)</f>
        <v>15467.369999999999</v>
      </c>
      <c r="P6" s="14"/>
    </row>
    <row r="7" spans="2:16" x14ac:dyDescent="0.25">
      <c r="B7" s="9">
        <v>92</v>
      </c>
      <c r="C7" s="10" t="s">
        <v>8</v>
      </c>
      <c r="D7" s="26"/>
      <c r="E7" s="2">
        <v>4634.0200000000004</v>
      </c>
      <c r="F7" s="2"/>
      <c r="G7" s="4">
        <f>SUM(E7:F7)</f>
        <v>4634.0200000000004</v>
      </c>
      <c r="H7" s="14"/>
      <c r="I7" s="14"/>
      <c r="J7" s="9">
        <v>92</v>
      </c>
      <c r="K7" s="10" t="s">
        <v>8</v>
      </c>
      <c r="L7" s="26"/>
      <c r="M7" s="2">
        <f>342.22+106.33+646.49</f>
        <v>1095.04</v>
      </c>
      <c r="N7" s="2">
        <v>4244.66</v>
      </c>
      <c r="O7" s="4">
        <f>SUM(M7:N7)</f>
        <v>5339.7</v>
      </c>
      <c r="P7" s="14"/>
    </row>
    <row r="8" spans="2:16" x14ac:dyDescent="0.25">
      <c r="B8" s="27" t="s">
        <v>2</v>
      </c>
      <c r="C8" s="28"/>
      <c r="D8" s="28"/>
      <c r="E8" s="28"/>
      <c r="F8" s="29"/>
      <c r="G8" s="11">
        <f>SUM(G6:G7)</f>
        <v>14412.24</v>
      </c>
      <c r="H8" s="20" t="s">
        <v>16</v>
      </c>
      <c r="I8" s="40"/>
      <c r="J8" s="38" t="s">
        <v>2</v>
      </c>
      <c r="K8" s="39"/>
      <c r="L8" s="21"/>
      <c r="M8" s="3">
        <f>SUM(M6:M7)</f>
        <v>7547.34</v>
      </c>
      <c r="N8" s="3">
        <f>SUM(N6:N7)</f>
        <v>13259.73</v>
      </c>
      <c r="O8" s="11">
        <f>SUM(O6:O7)</f>
        <v>20807.07</v>
      </c>
      <c r="P8" s="20" t="s">
        <v>16</v>
      </c>
    </row>
    <row r="9" spans="2:16" x14ac:dyDescent="0.25">
      <c r="B9" s="9">
        <v>67</v>
      </c>
      <c r="C9" s="10" t="s">
        <v>9</v>
      </c>
      <c r="D9" s="26">
        <v>72628407000179</v>
      </c>
      <c r="E9" s="13">
        <v>3040.65</v>
      </c>
      <c r="F9" s="13">
        <v>418.19</v>
      </c>
      <c r="G9" s="4">
        <f>SUM(E9:F9)</f>
        <v>3458.84</v>
      </c>
      <c r="H9" s="14"/>
      <c r="I9" s="14"/>
      <c r="J9" s="9">
        <v>67</v>
      </c>
      <c r="K9" s="10" t="s">
        <v>9</v>
      </c>
      <c r="L9" s="26">
        <v>72628407000179</v>
      </c>
      <c r="M9" s="13">
        <v>1489.14</v>
      </c>
      <c r="N9" s="13">
        <v>2302.71</v>
      </c>
      <c r="O9" s="4">
        <f>SUM(M9:N9)</f>
        <v>3791.8500000000004</v>
      </c>
      <c r="P9" s="14"/>
    </row>
    <row r="10" spans="2:16" x14ac:dyDescent="0.25">
      <c r="B10" s="9">
        <v>69</v>
      </c>
      <c r="C10" s="10" t="s">
        <v>10</v>
      </c>
      <c r="D10" s="26"/>
      <c r="E10" s="2">
        <v>1101.83</v>
      </c>
      <c r="F10" s="2"/>
      <c r="G10" s="4">
        <f t="shared" ref="G10:G15" si="0">SUM(E10:F10)</f>
        <v>1101.83</v>
      </c>
      <c r="H10" s="14"/>
      <c r="I10" s="14"/>
      <c r="J10" s="9">
        <v>69</v>
      </c>
      <c r="K10" s="10" t="s">
        <v>10</v>
      </c>
      <c r="L10" s="26"/>
      <c r="M10" s="2">
        <f>443.11+103.83+155.78</f>
        <v>702.72</v>
      </c>
      <c r="N10" s="2">
        <v>1066.23</v>
      </c>
      <c r="O10" s="4">
        <f t="shared" ref="O10" si="1">SUM(M10:N10)</f>
        <v>1768.95</v>
      </c>
      <c r="P10" s="14"/>
    </row>
    <row r="11" spans="2:16" x14ac:dyDescent="0.25">
      <c r="B11" s="27" t="s">
        <v>2</v>
      </c>
      <c r="C11" s="28"/>
      <c r="D11" s="28"/>
      <c r="E11" s="28"/>
      <c r="F11" s="29"/>
      <c r="G11" s="11">
        <f>SUM(G9:G10)</f>
        <v>4560.67</v>
      </c>
      <c r="H11" s="20" t="s">
        <v>16</v>
      </c>
      <c r="I11" s="40"/>
      <c r="J11" s="38" t="s">
        <v>2</v>
      </c>
      <c r="K11" s="39"/>
      <c r="L11" s="21"/>
      <c r="M11" s="3">
        <f>SUM(M9:M10)</f>
        <v>2191.86</v>
      </c>
      <c r="N11" s="3">
        <f>SUM(N9:N10)</f>
        <v>3368.94</v>
      </c>
      <c r="O11" s="11">
        <f>SUM(O9:O10)</f>
        <v>5560.8</v>
      </c>
      <c r="P11" s="20" t="s">
        <v>16</v>
      </c>
    </row>
    <row r="12" spans="2:16" x14ac:dyDescent="0.25">
      <c r="B12" s="9">
        <v>45</v>
      </c>
      <c r="C12" s="10" t="s">
        <v>11</v>
      </c>
      <c r="D12" s="26">
        <v>36113768000119</v>
      </c>
      <c r="E12" s="2">
        <v>1545.17</v>
      </c>
      <c r="F12" s="2">
        <v>209.13</v>
      </c>
      <c r="G12" s="4">
        <f t="shared" si="0"/>
        <v>1754.3000000000002</v>
      </c>
      <c r="H12" s="14"/>
      <c r="I12" s="14"/>
      <c r="J12" s="9">
        <v>45</v>
      </c>
      <c r="K12" s="10" t="s">
        <v>11</v>
      </c>
      <c r="L12" s="26">
        <v>36113768000119</v>
      </c>
      <c r="M12" s="2">
        <f>338.83+150.47+1750.85</f>
        <v>2240.1499999999996</v>
      </c>
      <c r="N12" s="2">
        <v>1446.6</v>
      </c>
      <c r="O12" s="4">
        <f>SUM(M12:N12)</f>
        <v>3686.7499999999995</v>
      </c>
      <c r="P12" s="14"/>
    </row>
    <row r="13" spans="2:16" x14ac:dyDescent="0.25">
      <c r="B13" s="9">
        <v>150</v>
      </c>
      <c r="C13" s="10" t="s">
        <v>12</v>
      </c>
      <c r="D13" s="26"/>
      <c r="E13" s="2">
        <v>766.58</v>
      </c>
      <c r="F13" s="2"/>
      <c r="G13" s="4">
        <f t="shared" si="0"/>
        <v>766.58</v>
      </c>
      <c r="H13" s="14"/>
      <c r="I13" s="14"/>
      <c r="J13" s="9">
        <v>150</v>
      </c>
      <c r="K13" s="10" t="s">
        <v>12</v>
      </c>
      <c r="L13" s="26"/>
      <c r="M13" s="22">
        <v>853.14</v>
      </c>
      <c r="N13" s="2">
        <v>728.17</v>
      </c>
      <c r="O13" s="4">
        <f t="shared" ref="O13" si="2">SUM(M13:N13)</f>
        <v>1581.31</v>
      </c>
      <c r="P13" s="14"/>
    </row>
    <row r="14" spans="2:16" x14ac:dyDescent="0.25">
      <c r="B14" s="27" t="s">
        <v>2</v>
      </c>
      <c r="C14" s="28"/>
      <c r="D14" s="28"/>
      <c r="E14" s="28"/>
      <c r="F14" s="29"/>
      <c r="G14" s="11">
        <f>SUM(G12:G13)</f>
        <v>2520.88</v>
      </c>
      <c r="H14" s="20" t="s">
        <v>16</v>
      </c>
      <c r="I14" s="40"/>
      <c r="J14" s="38" t="s">
        <v>2</v>
      </c>
      <c r="K14" s="39"/>
      <c r="L14" s="21"/>
      <c r="M14" s="3">
        <f>SUM(M12:M12)</f>
        <v>2240.1499999999996</v>
      </c>
      <c r="N14" s="3">
        <f>SUM(N12:N13)</f>
        <v>2174.77</v>
      </c>
      <c r="O14" s="11">
        <f>SUM(O12:O13)</f>
        <v>5268.0599999999995</v>
      </c>
      <c r="P14" s="20" t="s">
        <v>16</v>
      </c>
    </row>
    <row r="15" spans="2:16" x14ac:dyDescent="0.25">
      <c r="B15" s="9">
        <v>46</v>
      </c>
      <c r="C15" s="10" t="s">
        <v>13</v>
      </c>
      <c r="D15" s="26">
        <v>36517206000130</v>
      </c>
      <c r="E15" s="2">
        <v>4787.1400000000003</v>
      </c>
      <c r="F15" s="2"/>
      <c r="G15" s="4">
        <f t="shared" si="0"/>
        <v>4787.1400000000003</v>
      </c>
      <c r="H15" s="14"/>
      <c r="I15" s="14"/>
      <c r="J15" s="9">
        <v>46</v>
      </c>
      <c r="K15" s="10" t="s">
        <v>13</v>
      </c>
      <c r="L15" s="26">
        <v>36517206000130</v>
      </c>
      <c r="M15" s="2">
        <f>508.05+126.79+253.78+784.84</f>
        <v>1673.46</v>
      </c>
      <c r="N15" s="2">
        <v>661.52</v>
      </c>
      <c r="O15" s="4">
        <f t="shared" ref="O15" si="3">SUM(M15:N15)</f>
        <v>2334.98</v>
      </c>
      <c r="P15" s="14"/>
    </row>
    <row r="16" spans="2:16" ht="15.75" thickBot="1" x14ac:dyDescent="0.3">
      <c r="B16" s="30" t="s">
        <v>2</v>
      </c>
      <c r="C16" s="31"/>
      <c r="D16" s="31"/>
      <c r="E16" s="31"/>
      <c r="F16" s="32"/>
      <c r="G16" s="12">
        <f>SUM(G15)</f>
        <v>4787.1400000000003</v>
      </c>
      <c r="H16" s="20" t="s">
        <v>19</v>
      </c>
      <c r="I16" s="40"/>
      <c r="J16" s="38" t="s">
        <v>2</v>
      </c>
      <c r="K16" s="39"/>
      <c r="L16" s="21"/>
      <c r="M16" s="3">
        <f>SUM(M15)</f>
        <v>1673.46</v>
      </c>
      <c r="N16" s="3">
        <f>SUM(N15)</f>
        <v>661.52</v>
      </c>
      <c r="O16" s="12">
        <f>SUM(O15)</f>
        <v>2334.98</v>
      </c>
      <c r="P16" s="20" t="s">
        <v>16</v>
      </c>
    </row>
    <row r="17" spans="9:9" x14ac:dyDescent="0.25">
      <c r="I17" s="15"/>
    </row>
    <row r="18" spans="9:9" x14ac:dyDescent="0.25">
      <c r="I18" s="15"/>
    </row>
    <row r="19" spans="9:9" x14ac:dyDescent="0.25">
      <c r="I19" s="15"/>
    </row>
    <row r="20" spans="9:9" x14ac:dyDescent="0.25">
      <c r="I20" s="15"/>
    </row>
    <row r="21" spans="9:9" x14ac:dyDescent="0.25">
      <c r="I21" s="15"/>
    </row>
    <row r="22" spans="9:9" x14ac:dyDescent="0.25">
      <c r="I22" s="15"/>
    </row>
    <row r="23" spans="9:9" x14ac:dyDescent="0.25">
      <c r="I23" s="15"/>
    </row>
  </sheetData>
  <mergeCells count="12">
    <mergeCell ref="J4:O4"/>
    <mergeCell ref="J5:K5"/>
    <mergeCell ref="J14:K14"/>
    <mergeCell ref="J16:K16"/>
    <mergeCell ref="J11:K11"/>
    <mergeCell ref="J8:K8"/>
    <mergeCell ref="B14:F14"/>
    <mergeCell ref="B16:F16"/>
    <mergeCell ref="B4:G4"/>
    <mergeCell ref="B8:F8"/>
    <mergeCell ref="B11:F11"/>
    <mergeCell ref="B5:C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2026-04-17T18:08:37Z</dcterms:modified>
</cp:coreProperties>
</file>